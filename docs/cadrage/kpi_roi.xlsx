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produit" sheetId="1" state="visible" r:id="rId3"/>
    <sheet name="TCO annee 1" sheetId="2" state="visible" r:id="rId4"/>
    <sheet name="Scenarios ROI 12 mois" sheetId="3" state="visible" r:id="rId5"/>
    <sheet name="Hypotheses fragi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<sst xmlns="http://schemas.openxmlformats.org/spreadsheetml/2006/main" count="95" uniqueCount="85">
  <si>
    <t xml:space="preserve">KPI produit</t>
  </si>
  <si>
    <t xml:space="preserve">Baseline</t>
  </si>
  <si>
    <t xml:space="preserve">Cible</t>
  </si>
  <si>
    <t xml:space="preserve">Fréquence de mesure</t>
  </si>
  <si>
    <t xml:space="preserve">Source de mesure</t>
  </si>
  <si>
    <t xml:space="preserve">Nombre de scans par jour</t>
  </si>
  <si>
    <t xml:space="preserve">à définir avec l'équipe</t>
  </si>
  <si>
    <t xml:space="preserve">quotidienne</t>
  </si>
  <si>
    <t xml:space="preserve">logs API</t>
  </si>
  <si>
    <t xml:space="preserve">Taux d'activation (1er scan réussi sous 48h)</t>
  </si>
  <si>
    <t xml:space="preserve">hebdomadaire</t>
  </si>
  <si>
    <t xml:space="preserve">analytics application</t>
  </si>
  <si>
    <t xml:space="preserve">Taux de rétention à 30 jours</t>
  </si>
  <si>
    <t xml:space="preserve">mensuelle</t>
  </si>
  <si>
    <t xml:space="preserve">Taux de substitution acceptée</t>
  </si>
  <si>
    <t xml:space="preserve">événement « alternative choisie »</t>
  </si>
  <si>
    <t xml:space="preserve">Coût LLM par conversation</t>
  </si>
  <si>
    <t xml:space="preserve">-</t>
  </si>
  <si>
    <t xml:space="preserve">facturation LLM</t>
  </si>
  <si>
    <t xml:space="preserve">Catégorie</t>
  </si>
  <si>
    <t xml:space="preserve">Poste</t>
  </si>
  <si>
    <t xml:space="preserve">Hypothèse</t>
  </si>
  <si>
    <t xml:space="preserve">Montant (€)</t>
  </si>
  <si>
    <t xml:space="preserve">Build</t>
  </si>
  <si>
    <t xml:space="preserve">Développement (1 ETP chargé, 6 mois)</t>
  </si>
  <si>
    <t xml:space="preserve">55 000 €/an x 6/12</t>
  </si>
  <si>
    <t xml:space="preserve">Données : nettoyage, jeux de test, annotation</t>
  </si>
  <si>
    <t xml:space="preserve">25 jours</t>
  </si>
  <si>
    <t xml:space="preserve">Run</t>
  </si>
  <si>
    <t xml:space="preserve">Hébergement API + base + application</t>
  </si>
  <si>
    <t xml:space="preserve">500 €/mois x 12</t>
  </si>
  <si>
    <t xml:space="preserve">Appels LLM de l'assistant</t>
  </si>
  <si>
    <t xml:space="preserve">voir calcul détaillé ci-dessous</t>
  </si>
  <si>
    <t xml:space="preserve">Stockage et trafic images</t>
  </si>
  <si>
    <t xml:space="preserve">100 €/mois x 12</t>
  </si>
  <si>
    <t xml:space="preserve">Supervision, correctifs, ré-entraînement (0,25 ETP)</t>
  </si>
  <si>
    <t xml:space="preserve">13 750 €/an</t>
  </si>
  <si>
    <t xml:space="preserve">Change</t>
  </si>
  <si>
    <t xml:space="preserve">Acquisition d'utilisateurs, support, contenu</t>
  </si>
  <si>
    <t xml:space="preserve">forfait annuel</t>
  </si>
  <si>
    <t xml:space="preserve">Conformité</t>
  </si>
  <si>
    <t xml:space="preserve">RGPD, mentions, audit de l'assistant</t>
  </si>
  <si>
    <t xml:space="preserve">10 jours</t>
  </si>
  <si>
    <t xml:space="preserve">Total</t>
  </si>
  <si>
    <t xml:space="preserve">Détail — coût des appels LLM (méthode du cours)</t>
  </si>
  <si>
    <t xml:space="preserve">Conversations par mois</t>
  </si>
  <si>
    <t xml:space="preserve">Échanges par conversation</t>
  </si>
  <si>
    <t xml:space="preserve">Tokens par échange (entrée + sortie)</t>
  </si>
  <si>
    <t xml:space="preserve">Prix retenu (€ par million de tokens, hypothèse blended du cours)</t>
  </si>
  <si>
    <t xml:space="preserve">Tokens par mois</t>
  </si>
  <si>
    <t xml:space="preserve">Coût mensuel (€)</t>
  </si>
  <si>
    <t xml:space="preserve">Coût annuel (€) — repris en B12</t>
  </si>
  <si>
    <t xml:space="preserve">Note : total calculé par somme des postes ci-dessus. Le cours affiche un total arrondi de ≈76 000 € sur ce même détail de postes ; la somme exacte des lignes (avec le calcul précis du coût LLM, 4 320 € et non 4 300 € arrondis) donne un chiffre légèrement différent — on garde ici la somme exacte plutôt que l'arrondi du cours, pour que le tableur reste cohérent avec lui-même.</t>
  </si>
  <si>
    <t xml:space="preserve">Scénario</t>
  </si>
  <si>
    <t xml:space="preserve">Utilisateurs actifs</t>
  </si>
  <si>
    <t xml:space="preserve">Taux conversion premium</t>
  </si>
  <si>
    <t xml:space="preserve">Prix mensuel (€)</t>
  </si>
  <si>
    <t xml:space="preserve">Clients B2B</t>
  </si>
  <si>
    <t xml:space="preserve">Revenu par client B2B (€/an)</t>
  </si>
  <si>
    <t xml:space="preserve">Coûts (€)</t>
  </si>
  <si>
    <t xml:space="preserve">Revenus (€)</t>
  </si>
  <si>
    <t xml:space="preserve">ROI</t>
  </si>
  <si>
    <t xml:space="preserve">Pessimiste</t>
  </si>
  <si>
    <t xml:space="preserve">Central</t>
  </si>
  <si>
    <t xml:space="preserve">Optimiste</t>
  </si>
  <si>
    <t xml:space="preserve">Hypothèse : modèle avec volet B2B, comme l'exemple du cours (Module 2.4). Revenus = (utilisateurs actifs x conversion premium x prix x 12) + (clients B2B x 12 000 €/an).</t>
  </si>
  <si>
    <t xml:space="preserve">Valeur centrale</t>
  </si>
  <si>
    <t xml:space="preserve">Si elle varie de ±50%</t>
  </si>
  <si>
    <t xml:space="preserve">Comment la vérifier tôt</t>
  </si>
  <si>
    <t xml:space="preserve">Taux de conversion premium</t>
  </si>
  <si>
    <t xml:space="preserve">3 %</t>
  </si>
  <si>
    <t xml:space="preserve">ROI de -45 % à +50 %</t>
  </si>
  <si>
    <t xml:space="preserve">Pilote sur 2 000 utilisateurs, 8 semaines</t>
  </si>
  <si>
    <t xml:space="preserve">Clients B2B signés</t>
  </si>
  <si>
    <t xml:space="preserve">2</t>
  </si>
  <si>
    <t xml:space="preserve">ROI de -13 % à +19 %</t>
  </si>
  <si>
    <t xml:space="preserve">Trois rendez-vous distributeurs avant J4</t>
  </si>
  <si>
    <t xml:space="preserve">50 000</t>
  </si>
  <si>
    <t xml:space="preserve">ROI de -50 % à +55 %</t>
  </si>
  <si>
    <t xml:space="preserve">Courbe d'acquisition des 3 premiers mois</t>
  </si>
  <si>
    <t xml:space="preserve">Coût par conversation LLM</t>
  </si>
  <si>
    <t xml:space="preserve">0,012 €</t>
  </si>
  <si>
    <t xml:space="preserve">ROI de +6 % à 0 %</t>
  </si>
  <si>
    <t xml:space="preserve">Mesure réelle dès la phase 5</t>
  </si>
  <si>
    <t xml:space="preserve">Ces valeurs sont reprises telles quelles du tableau de sensibilité du cours (Module 2.4) — calculées sur le TCO arrondi du cours (≈76 000 €), pas recalculées sur notre propre total (légèrement différent, cf. note de l'onglet TCO). Les deux premières lignes (conversion, B2B) restent les plus déterminantes ; le coût LLM est secondaire.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</si>
</sst>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&quot; €&quot;"/>
    <numFmt numFmtId="167" formatCode="#,##0&quot; €&quot;;\(#,##0&quot; €)&quot;;\-"/>
    <numFmt numFmtId="168" formatCode="#,##0.00&quot; €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3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0</v>
      </c>
      <c r="C2" s="3" t="s">
        <v>6</v>
      </c>
      <c r="D2" s="2" t="s">
        <v>7</v>
      </c>
      <c r="E2" s="2" t="s">
        <v>8</v>
      </c>
    </row>
    <row r="3" customFormat="false" ht="15" hidden="false" customHeight="false" outlineLevel="0" collapsed="false">
      <c r="A3" s="2" t="s">
        <v>9</v>
      </c>
      <c r="B3" s="2" t="n">
        <v>0</v>
      </c>
      <c r="C3" s="3" t="s">
        <v>6</v>
      </c>
      <c r="D3" s="2" t="s">
        <v>10</v>
      </c>
      <c r="E3" s="2" t="s">
        <v>11</v>
      </c>
    </row>
    <row r="4" customFormat="false" ht="15" hidden="false" customHeight="false" outlineLevel="0" collapsed="false">
      <c r="A4" s="2" t="s">
        <v>12</v>
      </c>
      <c r="B4" s="2" t="n">
        <v>0</v>
      </c>
      <c r="C4" s="4" t="n">
        <v>0.35</v>
      </c>
      <c r="D4" s="2" t="s">
        <v>13</v>
      </c>
      <c r="E4" s="2" t="s">
        <v>11</v>
      </c>
    </row>
    <row r="5" customFormat="false" ht="15" hidden="false" customHeight="false" outlineLevel="0" collapsed="false">
      <c r="A5" s="2" t="s">
        <v>14</v>
      </c>
      <c r="B5" s="2" t="n">
        <v>0</v>
      </c>
      <c r="C5" s="4" t="n">
        <v>0.15</v>
      </c>
      <c r="D5" s="2" t="s">
        <v>10</v>
      </c>
      <c r="E5" s="2" t="s">
        <v>15</v>
      </c>
    </row>
    <row r="6" customFormat="false" ht="15" hidden="false" customHeight="false" outlineLevel="0" collapsed="false">
      <c r="A6" s="2" t="s">
        <v>16</v>
      </c>
      <c r="B6" s="2" t="s">
        <v>17</v>
      </c>
      <c r="C6" s="5" t="n">
        <v>0.02</v>
      </c>
      <c r="D6" s="2" t="s">
        <v>13</v>
      </c>
      <c r="E6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8"/>
    <col collapsed="false" customWidth="true" hidden="false" outlineLevel="0" max="3" min="3" style="0" width="34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19</v>
      </c>
      <c r="B1" s="1" t="s">
        <v>20</v>
      </c>
      <c r="C1" s="1" t="s">
        <v>21</v>
      </c>
      <c r="D1" s="1" t="s">
        <v>22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s">
        <v>25</v>
      </c>
      <c r="D2" s="6" t="n">
        <f aca="false">55000*6/12</f>
        <v>27500</v>
      </c>
    </row>
    <row r="3" customFormat="false" ht="15" hidden="false" customHeight="false" outlineLevel="0" collapsed="false">
      <c r="A3" s="2" t="s">
        <v>23</v>
      </c>
      <c r="B3" s="2" t="s">
        <v>26</v>
      </c>
      <c r="C3" s="2" t="s">
        <v>27</v>
      </c>
      <c r="D3" s="7" t="n">
        <v>6000</v>
      </c>
    </row>
    <row r="4" customFormat="false" ht="15" hidden="false" customHeight="false" outlineLevel="0" collapsed="false">
      <c r="A4" s="2" t="s">
        <v>28</v>
      </c>
      <c r="B4" s="2" t="s">
        <v>29</v>
      </c>
      <c r="C4" s="2" t="s">
        <v>30</v>
      </c>
      <c r="D4" s="6" t="n">
        <f aca="false">500*12</f>
        <v>6000</v>
      </c>
    </row>
    <row r="5" customFormat="false" ht="15" hidden="false" customHeight="false" outlineLevel="0" collapsed="false">
      <c r="A5" s="2" t="s">
        <v>28</v>
      </c>
      <c r="B5" s="2" t="s">
        <v>31</v>
      </c>
      <c r="C5" s="2" t="s">
        <v>32</v>
      </c>
      <c r="D5" s="6" t="n">
        <f aca="false">B19</f>
        <v>4320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6" t="n">
        <f aca="false">100*12</f>
        <v>1200</v>
      </c>
    </row>
    <row r="7" customFormat="false" ht="15" hidden="false" customHeight="false" outlineLevel="0" collapsed="false">
      <c r="A7" s="2" t="s">
        <v>28</v>
      </c>
      <c r="B7" s="2" t="s">
        <v>35</v>
      </c>
      <c r="C7" s="2" t="s">
        <v>36</v>
      </c>
      <c r="D7" s="7" t="n">
        <v>13750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s">
        <v>39</v>
      </c>
      <c r="D8" s="7" t="n">
        <v>10000</v>
      </c>
    </row>
    <row r="9" customFormat="false" ht="15" hidden="false" customHeight="false" outlineLevel="0" collapsed="false">
      <c r="A9" s="2" t="s">
        <v>40</v>
      </c>
      <c r="B9" s="2" t="s">
        <v>41</v>
      </c>
      <c r="C9" s="2" t="s">
        <v>42</v>
      </c>
      <c r="D9" s="7" t="n">
        <v>3000</v>
      </c>
    </row>
    <row r="10" customFormat="false" ht="15" hidden="false" customHeight="false" outlineLevel="0" collapsed="false">
      <c r="A10" s="8" t="s">
        <v>43</v>
      </c>
      <c r="B10" s="8"/>
      <c r="C10" s="8"/>
      <c r="D10" s="9" t="n">
        <f aca="false">SUM(D2:D9)</f>
        <v>71770</v>
      </c>
    </row>
    <row r="12" customFormat="false" ht="15" hidden="false" customHeight="false" outlineLevel="0" collapsed="false">
      <c r="A12" s="10" t="s">
        <v>44</v>
      </c>
    </row>
    <row r="13" customFormat="false" ht="15" hidden="false" customHeight="false" outlineLevel="0" collapsed="false">
      <c r="A13" s="0" t="s">
        <v>45</v>
      </c>
      <c r="B13" s="11" t="n">
        <v>30000</v>
      </c>
    </row>
    <row r="14" customFormat="false" ht="15" hidden="false" customHeight="false" outlineLevel="0" collapsed="false">
      <c r="A14" s="0" t="s">
        <v>46</v>
      </c>
      <c r="B14" s="11" t="n">
        <v>4</v>
      </c>
    </row>
    <row r="15" customFormat="false" ht="15" hidden="false" customHeight="false" outlineLevel="0" collapsed="false">
      <c r="A15" s="0" t="s">
        <v>47</v>
      </c>
      <c r="B15" s="11" t="n">
        <v>1500</v>
      </c>
    </row>
    <row r="16" customFormat="false" ht="15" hidden="false" customHeight="false" outlineLevel="0" collapsed="false">
      <c r="A16" s="0" t="s">
        <v>48</v>
      </c>
      <c r="B16" s="11" t="n">
        <v>2</v>
      </c>
    </row>
    <row r="17" customFormat="false" ht="15" hidden="false" customHeight="false" outlineLevel="0" collapsed="false">
      <c r="A17" s="0" t="s">
        <v>49</v>
      </c>
      <c r="B17" s="0" t="n">
        <f aca="false">B13*B14*B15</f>
        <v>180000000</v>
      </c>
    </row>
    <row r="18" customFormat="false" ht="15" hidden="false" customHeight="false" outlineLevel="0" collapsed="false">
      <c r="A18" s="0" t="s">
        <v>50</v>
      </c>
      <c r="B18" s="12" t="n">
        <f aca="false">B17/1000000*B16</f>
        <v>360</v>
      </c>
    </row>
    <row r="19" customFormat="false" ht="15" hidden="false" customHeight="false" outlineLevel="0" collapsed="false">
      <c r="A19" s="0" t="s">
        <v>51</v>
      </c>
      <c r="B19" s="12" t="n">
        <f aca="false">B18*12</f>
        <v>4320</v>
      </c>
    </row>
    <row r="21" customFormat="false" ht="45" hidden="false" customHeight="true" outlineLevel="0" collapsed="false">
      <c r="A21" s="13" t="s">
        <v>52</v>
      </c>
      <c r="B21" s="13"/>
      <c r="C21" s="13"/>
      <c r="D21" s="13"/>
    </row>
  </sheetData>
  <mergeCells count="1"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customFormat="false" ht="15" hidden="false" customHeight="false" outlineLevel="0" collapsed="false">
      <c r="A2" s="14" t="s">
        <v>62</v>
      </c>
      <c r="B2" s="15" t="n">
        <v>20000</v>
      </c>
      <c r="C2" s="16" t="n">
        <v>0.02</v>
      </c>
      <c r="D2" s="17" t="n">
        <v>2.99</v>
      </c>
      <c r="E2" s="15" t="n">
        <v>0</v>
      </c>
      <c r="F2" s="7" t="n">
        <v>12000</v>
      </c>
      <c r="G2" s="18" t="n">
        <f aca="false">'TCO annee 1'!$D$10</f>
        <v>71770</v>
      </c>
      <c r="H2" s="6" t="n">
        <f aca="false">B2*C2*D2*12+E2*F2</f>
        <v>14352</v>
      </c>
      <c r="I2" s="4" t="n">
        <f aca="false">(H2-G2)/G2</f>
        <v>-0.800027866796712</v>
      </c>
    </row>
    <row r="3" customFormat="false" ht="15" hidden="false" customHeight="false" outlineLevel="0" collapsed="false">
      <c r="A3" s="14" t="s">
        <v>63</v>
      </c>
      <c r="B3" s="15" t="n">
        <v>50000</v>
      </c>
      <c r="C3" s="16" t="n">
        <v>0.03</v>
      </c>
      <c r="D3" s="17" t="n">
        <v>2.99</v>
      </c>
      <c r="E3" s="15" t="n">
        <v>2</v>
      </c>
      <c r="F3" s="7" t="n">
        <v>12000</v>
      </c>
      <c r="G3" s="18" t="n">
        <f aca="false">'TCO annee 1'!$D$10</f>
        <v>71770</v>
      </c>
      <c r="H3" s="6" t="n">
        <f aca="false">B3*C3*D3*12+E3*F3</f>
        <v>77820</v>
      </c>
      <c r="I3" s="4" t="n">
        <f aca="false">(H3-G3)/G3</f>
        <v>0.0842970600529469</v>
      </c>
    </row>
    <row r="4" customFormat="false" ht="15" hidden="false" customHeight="false" outlineLevel="0" collapsed="false">
      <c r="A4" s="14" t="s">
        <v>64</v>
      </c>
      <c r="B4" s="15" t="n">
        <v>120000</v>
      </c>
      <c r="C4" s="16" t="n">
        <v>0.04</v>
      </c>
      <c r="D4" s="17" t="n">
        <v>2.99</v>
      </c>
      <c r="E4" s="15" t="n">
        <v>4</v>
      </c>
      <c r="F4" s="7" t="n">
        <v>12000</v>
      </c>
      <c r="G4" s="18" t="n">
        <f aca="false">'TCO annee 1'!$D$10</f>
        <v>71770</v>
      </c>
      <c r="H4" s="6" t="n">
        <f aca="false">B4*C4*D4*12+E4*F4</f>
        <v>220224</v>
      </c>
      <c r="I4" s="4" t="n">
        <f aca="false">(H4-G4)/G4</f>
        <v>2.06846871952069</v>
      </c>
    </row>
    <row r="6" customFormat="false" ht="15" hidden="false" customHeight="false" outlineLevel="0" collapsed="false">
      <c r="A6" s="19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1" t="s">
        <v>21</v>
      </c>
      <c r="B1" s="1" t="s">
        <v>66</v>
      </c>
      <c r="C1" s="1" t="s">
        <v>67</v>
      </c>
      <c r="D1" s="1" t="s">
        <v>68</v>
      </c>
    </row>
    <row r="2" customFormat="false" ht="30" hidden="false" customHeight="true" outlineLevel="0" collapsed="false">
      <c r="A2" s="20" t="s">
        <v>69</v>
      </c>
      <c r="B2" s="20" t="s">
        <v>70</v>
      </c>
      <c r="C2" s="20" t="s">
        <v>71</v>
      </c>
      <c r="D2" s="20" t="s">
        <v>72</v>
      </c>
    </row>
    <row r="3" customFormat="false" ht="30" hidden="false" customHeight="true" outlineLevel="0" collapsed="false">
      <c r="A3" s="20" t="s">
        <v>73</v>
      </c>
      <c r="B3" s="20" t="s">
        <v>74</v>
      </c>
      <c r="C3" s="20" t="s">
        <v>75</v>
      </c>
      <c r="D3" s="20" t="s">
        <v>76</v>
      </c>
    </row>
    <row r="4" customFormat="false" ht="30" hidden="false" customHeight="true" outlineLevel="0" collapsed="false">
      <c r="A4" s="20" t="s">
        <v>54</v>
      </c>
      <c r="B4" s="20" t="s">
        <v>77</v>
      </c>
      <c r="C4" s="20" t="s">
        <v>78</v>
      </c>
      <c r="D4" s="20" t="s">
        <v>79</v>
      </c>
    </row>
    <row r="5" customFormat="false" ht="30" hidden="false" customHeight="true" outlineLevel="0" collapsed="false">
      <c r="A5" s="20" t="s">
        <v>80</v>
      </c>
      <c r="B5" s="20" t="s">
        <v>81</v>
      </c>
      <c r="C5" s="20" t="s">
        <v>82</v>
      </c>
      <c r="D5" s="20" t="s">
        <v>83</v>
      </c>
    </row>
    <row r="7" customFormat="false" ht="54.75" hidden="false" customHeight="true" outlineLevel="0" collapsed="false">
      <c r="A7" s="13" t="s">
        <v>84</v>
      </c>
      <c r="B7" s="13"/>
      <c r="C7" s="13"/>
      <c r="D7" s="13"/>
    </row>
  </sheetData>
  <mergeCells count="1"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2026-09-15T14:08:21Z</dcterms:created>
  <dc:creator>openpyxl</dc:creator>
  <dc:description/>
  <dc:language>en-US</dc:language>
  <cp:lastModifiedBy/>
  <dcterms:modified xsi:type="dcterms:W3CDTF">2026-09-15T14:08:21Z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